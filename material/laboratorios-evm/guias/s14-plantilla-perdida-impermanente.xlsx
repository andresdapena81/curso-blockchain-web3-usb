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 Black"/>
      <color rgb="000F0F11"/>
      <sz val="13"/>
    </font>
    <font>
      <name val="Arial"/>
      <i val="1"/>
      <color rgb="006F6B80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color rgb="00F07F06"/>
    </font>
    <font>
      <name val="Arial"/>
      <color rgb="003A3844"/>
      <sz val="9"/>
    </font>
  </fonts>
  <fills count="5">
    <fill>
      <patternFill/>
    </fill>
    <fill>
      <patternFill patternType="gray125"/>
    </fill>
    <fill>
      <patternFill patternType="solid">
        <fgColor rgb="00F2F0F5"/>
      </patternFill>
    </fill>
    <fill>
      <patternFill patternType="solid">
        <fgColor rgb="000F0F11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9D6E0"/>
      </left>
      <right style="thin">
        <color rgb="00D9D6E0"/>
      </right>
      <top style="thin">
        <color rgb="00D9D6E0"/>
      </top>
      <bottom style="thin">
        <color rgb="00D9D6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wrapText="1"/>
    </xf>
    <xf numFmtId="0" fontId="0" fillId="2" borderId="1" pivotButton="0" quotePrefix="0" xfId="0"/>
    <xf numFmtId="2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10" fontId="0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5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  <col width="16" customWidth="1" min="9" max="9"/>
  </cols>
  <sheetData>
    <row r="1">
      <c r="A1" s="1" t="inlineStr">
        <is>
          <t>LABORATORIO 14 · PÉRDIDA IMPERMANENTE EN TRES ESCENARIOS</t>
        </is>
      </c>
    </row>
    <row r="2">
      <c r="A2" s="2" t="inlineStr">
        <is>
          <t>Llenen las celdas AMARILLAS con FÓRMULAS (no con números copiados). La columna I dice si coinciden con lo esperado.</t>
        </is>
      </c>
    </row>
    <row r="3">
      <c r="A3" s="3" t="inlineStr">
        <is>
          <t>ETH depositado (x0)</t>
        </is>
      </c>
      <c r="B3" s="4" t="n">
        <v>1</v>
      </c>
    </row>
    <row r="4">
      <c r="A4" s="3" t="inlineStr">
        <is>
          <t>USDC depositado (y0)</t>
        </is>
      </c>
      <c r="B4" s="4" t="n">
        <v>2000</v>
      </c>
    </row>
    <row r="5">
      <c r="A5" s="3" t="inlineStr">
        <is>
          <t>Precio inicial del ETH (P0)</t>
        </is>
      </c>
      <c r="B5" s="4" t="n">
        <v>2000</v>
      </c>
    </row>
    <row r="6">
      <c r="A6" s="3" t="inlineStr">
        <is>
          <t>k = x0 · y0</t>
        </is>
      </c>
      <c r="B6">
        <f>B3*B4</f>
        <v/>
      </c>
    </row>
    <row r="8" ht="30" customHeight="1">
      <c r="A8" s="5" t="inlineStr">
        <is>
          <t>Escenario</t>
        </is>
      </c>
      <c r="B8" s="5" t="inlineStr">
        <is>
          <t>Precio final P1</t>
        </is>
      </c>
      <c r="C8" s="5" t="inlineStr">
        <is>
          <t>r = P1/P0</t>
        </is>
      </c>
      <c r="D8" s="5" t="inlineStr">
        <is>
          <t>ETH en el pool</t>
        </is>
      </c>
      <c r="E8" s="5" t="inlineStr">
        <is>
          <t>USDC en el pool</t>
        </is>
      </c>
      <c r="F8" s="5" t="inlineStr">
        <is>
          <t>Valor del pool</t>
        </is>
      </c>
      <c r="G8" s="5" t="inlineStr">
        <is>
          <t>Valor si conserva</t>
        </is>
      </c>
      <c r="H8" s="5" t="inlineStr">
        <is>
          <t>Pérdida</t>
        </is>
      </c>
      <c r="I8" s="5" t="inlineStr">
        <is>
          <t>¿Coincide?</t>
        </is>
      </c>
    </row>
    <row r="9">
      <c r="A9" s="3" t="inlineStr">
        <is>
          <t>A · ETH cae a 1 000</t>
        </is>
      </c>
      <c r="B9" s="6" t="n">
        <v>1000</v>
      </c>
      <c r="C9" s="7" t="n"/>
      <c r="D9" s="8" t="n"/>
      <c r="E9" s="9" t="n"/>
      <c r="F9" s="9" t="n"/>
      <c r="G9" s="9" t="n"/>
      <c r="H9" s="10" t="n"/>
      <c r="I9" s="3">
        <f>IF(AND(ABS(C9-C16)&lt;0.0001,ABS(D9-D16)&lt;0.0001,ABS(E9-E16)&lt;0.01,ABS(F9-F16)&lt;0.01,ABS(G9-G16)&lt;0.01,ABS(H9-H16)&lt;0.0001),"✔ coincide","✘ revisar")</f>
        <v/>
      </c>
    </row>
    <row r="10">
      <c r="A10" s="3" t="inlineStr">
        <is>
          <t>B · ETH sube a 4 000</t>
        </is>
      </c>
      <c r="B10" s="6" t="n">
        <v>4000</v>
      </c>
      <c r="C10" s="7" t="n"/>
      <c r="D10" s="8" t="n"/>
      <c r="E10" s="9" t="n"/>
      <c r="F10" s="9" t="n"/>
      <c r="G10" s="9" t="n"/>
      <c r="H10" s="10" t="n"/>
      <c r="I10" s="3">
        <f>IF(AND(ABS(C10-C17)&lt;0.0001,ABS(D10-D17)&lt;0.0001,ABS(E10-E17)&lt;0.01,ABS(F10-F17)&lt;0.01,ABS(G10-G17)&lt;0.01,ABS(H10-H17)&lt;0.0001),"✔ coincide","✘ revisar")</f>
        <v/>
      </c>
    </row>
    <row r="11">
      <c r="A11" s="3" t="inlineStr">
        <is>
          <t>C · ETH sube a 8 000</t>
        </is>
      </c>
      <c r="B11" s="6" t="n">
        <v>8000</v>
      </c>
      <c r="C11" s="7" t="n"/>
      <c r="D11" s="8" t="n"/>
      <c r="E11" s="9" t="n"/>
      <c r="F11" s="9" t="n"/>
      <c r="G11" s="9" t="n"/>
      <c r="H11" s="10" t="n"/>
      <c r="I11" s="3">
        <f>IF(AND(ABS(C11-C18)&lt;0.0001,ABS(D11-D18)&lt;0.0001,ABS(E11-E18)&lt;0.01,ABS(F11-F18)&lt;0.01,ABS(G11-G18)&lt;0.01,ABS(H11-H18)&lt;0.0001),"✔ coincide","✘ revisar")</f>
        <v/>
      </c>
    </row>
    <row r="12">
      <c r="A12" s="3" t="inlineStr">
        <is>
          <t>D · su propio escenario</t>
        </is>
      </c>
      <c r="B12" s="11" t="n"/>
      <c r="C12" s="7" t="n"/>
      <c r="D12" s="8" t="n"/>
      <c r="E12" s="9" t="n"/>
      <c r="F12" s="9" t="n"/>
      <c r="G12" s="9" t="n"/>
      <c r="H12" s="10" t="n"/>
      <c r="I12" s="3">
        <f>IF(ISNUMBER(C12),IF(ABS(H12-(1-2*SQRT(C12)/(1+C12)))&lt;0.0001,"✔ coincide","✘ revisar"),"")</f>
        <v/>
      </c>
    </row>
    <row r="14">
      <c r="A14" s="12" t="inlineStr">
        <is>
          <t>VALORES ESPERADOS (para autocomprobarse; no los copien arriba: arriba van fórmulas)</t>
        </is>
      </c>
    </row>
    <row r="15">
      <c r="A15" s="13" t="inlineStr">
        <is>
          <t>Escenario</t>
        </is>
      </c>
      <c r="B15" s="13" t="inlineStr">
        <is>
          <t>Precio final P1</t>
        </is>
      </c>
      <c r="C15" s="13" t="inlineStr">
        <is>
          <t>r = P1/P0</t>
        </is>
      </c>
      <c r="D15" s="13" t="inlineStr">
        <is>
          <t>ETH en el pool</t>
        </is>
      </c>
      <c r="E15" s="13" t="inlineStr">
        <is>
          <t>USDC en el pool</t>
        </is>
      </c>
      <c r="F15" s="13" t="inlineStr">
        <is>
          <t>Valor del pool</t>
        </is>
      </c>
      <c r="G15" s="13" t="inlineStr">
        <is>
          <t>Valor si conserva</t>
        </is>
      </c>
      <c r="H15" s="13" t="inlineStr">
        <is>
          <t>Pérdida</t>
        </is>
      </c>
    </row>
    <row r="16">
      <c r="A16" s="14" t="inlineStr">
        <is>
          <t>A · ETH cae a 1 000</t>
        </is>
      </c>
      <c r="B16" s="15" t="n">
        <v>1000</v>
      </c>
      <c r="C16" s="16" t="n">
        <v>0.5</v>
      </c>
      <c r="D16" s="17" t="n">
        <v>1.414214</v>
      </c>
      <c r="E16" s="18" t="n">
        <v>1414.2136</v>
      </c>
      <c r="F16" s="18" t="n">
        <v>2828.4271</v>
      </c>
      <c r="G16" s="18" t="n">
        <v>3000</v>
      </c>
      <c r="H16" s="19" t="n">
        <v>0.057191</v>
      </c>
    </row>
    <row r="17">
      <c r="A17" s="14" t="inlineStr">
        <is>
          <t>B · ETH sube a 4 000</t>
        </is>
      </c>
      <c r="B17" s="15" t="n">
        <v>4000</v>
      </c>
      <c r="C17" s="16" t="n">
        <v>2</v>
      </c>
      <c r="D17" s="17" t="n">
        <v>0.707107</v>
      </c>
      <c r="E17" s="18" t="n">
        <v>2828.4271</v>
      </c>
      <c r="F17" s="18" t="n">
        <v>5656.8542</v>
      </c>
      <c r="G17" s="18" t="n">
        <v>6000</v>
      </c>
      <c r="H17" s="19" t="n">
        <v>0.057191</v>
      </c>
    </row>
    <row r="18">
      <c r="A18" s="14" t="inlineStr">
        <is>
          <t>C · ETH sube a 8 000</t>
        </is>
      </c>
      <c r="B18" s="15" t="n">
        <v>8000</v>
      </c>
      <c r="C18" s="16" t="n">
        <v>4</v>
      </c>
      <c r="D18" s="17" t="n">
        <v>0.5</v>
      </c>
      <c r="E18" s="18" t="n">
        <v>4000</v>
      </c>
      <c r="F18" s="18" t="n">
        <v>8000</v>
      </c>
      <c r="G18" s="18" t="n">
        <v>10000</v>
      </c>
      <c r="H18" s="19" t="n">
        <v>0.2</v>
      </c>
    </row>
    <row r="21">
      <c r="A21" s="20" t="inlineStr">
        <is>
          <t>Pistas: r = P1/P0 · ETH en el pool = x0/√r · USDC en el pool = y0·√r · valor del pool = ETH·P1 + USDC</t>
        </is>
      </c>
    </row>
    <row r="22">
      <c r="A22" s="20" t="inlineStr">
        <is>
          <t>valor si conserva = x0·P1 + y0 · pérdida = 1 − valor del pool / valor si conserva.</t>
        </is>
      </c>
    </row>
    <row r="23">
      <c r="A23" s="20" t="inlineStr">
        <is>
          <t>Comprobación cruzada: la pérdida debe ser igual a 1 − 2·√r/(1+r) (lámina A.7 y scripts/s14/perdida-impermanente.js).</t>
        </is>
      </c>
    </row>
    <row r="24">
      <c r="A24" s="20" t="inlineStr">
        <is>
          <t>Preguntas para el informe: ¿por qué A y B dan el MISMO porcentaje? ¿qué comisión anual tendría que ganar el LP en C para no perder?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2026-09-18T00:50:52Z</dcterms:created>
  <dcterms:modified xmlns:dcterms="http://purl.org/dc/terms/" xmlns:xsi="http://www.w3.org/2001/XMLSchema-instance" xsi:type="dcterms:W3CDTF">2026-09-18T00:50:52Z</dcterms:modified>
</cp:coreProperties>
</file>